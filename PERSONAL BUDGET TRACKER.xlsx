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books\data science course notes\HOME WORK\"/>
    </mc:Choice>
  </mc:AlternateContent>
  <xr:revisionPtr revIDLastSave="0" documentId="13_ncr:1_{FA9BC811-5420-4F8D-AFCA-D78E9BF3A4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J2" i="1"/>
  <c r="J3" i="1"/>
  <c r="J4" i="1"/>
  <c r="J5" i="1"/>
  <c r="J6" i="1"/>
  <c r="J7" i="1"/>
  <c r="J8" i="1"/>
  <c r="J9" i="1"/>
  <c r="J10" i="1"/>
  <c r="J11" i="1"/>
  <c r="J12" i="1"/>
  <c r="J13" i="1"/>
  <c r="I2" i="1"/>
  <c r="I3" i="1"/>
  <c r="I4" i="1"/>
  <c r="I5" i="1"/>
  <c r="I6" i="1"/>
  <c r="I7" i="1"/>
  <c r="I8" i="1"/>
  <c r="I9" i="1"/>
  <c r="I10" i="1"/>
  <c r="I11" i="1"/>
  <c r="I12" i="1"/>
  <c r="I13" i="1"/>
  <c r="H6" i="1"/>
  <c r="H21" i="1" s="1"/>
  <c r="H10" i="1"/>
  <c r="G2" i="1"/>
  <c r="G3" i="1" s="1"/>
  <c r="J18" i="1" l="1"/>
  <c r="J19" i="1"/>
  <c r="I19" i="1"/>
  <c r="I17" i="1"/>
  <c r="I16" i="1"/>
  <c r="J16" i="1"/>
  <c r="I18" i="1"/>
  <c r="I15" i="1"/>
  <c r="J15" i="1"/>
  <c r="J17" i="1"/>
  <c r="H3" i="1"/>
  <c r="G4" i="1"/>
  <c r="H2" i="1"/>
  <c r="H4" i="1" l="1"/>
  <c r="G5" i="1"/>
  <c r="G6" i="1" l="1"/>
  <c r="G7" i="1" s="1"/>
  <c r="H5" i="1"/>
  <c r="H20" i="1" s="1"/>
  <c r="G8" i="1" l="1"/>
  <c r="H7" i="1"/>
  <c r="G9" i="1" l="1"/>
  <c r="H8" i="1"/>
  <c r="G10" i="1" l="1"/>
  <c r="G11" i="1" s="1"/>
  <c r="H9" i="1"/>
  <c r="G12" i="1" l="1"/>
  <c r="H11" i="1"/>
  <c r="G13" i="1" l="1"/>
  <c r="H12" i="1"/>
  <c r="H13" i="1" l="1"/>
  <c r="G18" i="1"/>
  <c r="G15" i="1"/>
  <c r="G16" i="1"/>
  <c r="G17" i="1"/>
  <c r="G19" i="1"/>
  <c r="H18" i="1" l="1"/>
  <c r="H17" i="1"/>
</calcChain>
</file>

<file path=xl/sharedStrings.xml><?xml version="1.0" encoding="utf-8"?>
<sst xmlns="http://schemas.openxmlformats.org/spreadsheetml/2006/main" count="40" uniqueCount="37">
  <si>
    <t>DATE</t>
  </si>
  <si>
    <t>CATEGORY</t>
  </si>
  <si>
    <t>DESCRIPTION</t>
  </si>
  <si>
    <t>INCOME</t>
  </si>
  <si>
    <t>EXPENSE</t>
  </si>
  <si>
    <t>BUDGET (per category)</t>
  </si>
  <si>
    <t>BALANCE</t>
  </si>
  <si>
    <t>OVERSPEND ALERT</t>
  </si>
  <si>
    <t>Salary</t>
  </si>
  <si>
    <t>Monthly salary</t>
  </si>
  <si>
    <t>Rent</t>
  </si>
  <si>
    <t>Apartment rent</t>
  </si>
  <si>
    <t>Groceries</t>
  </si>
  <si>
    <t>Weekly supermarket</t>
  </si>
  <si>
    <t>Extra snacks</t>
  </si>
  <si>
    <t>Dining out</t>
  </si>
  <si>
    <t>Dinner with friends</t>
  </si>
  <si>
    <t>Entertainment</t>
  </si>
  <si>
    <t>Movie + streaming</t>
  </si>
  <si>
    <t>Weekend supplies</t>
  </si>
  <si>
    <t>Cafe work lunch</t>
  </si>
  <si>
    <t>Shopping</t>
  </si>
  <si>
    <t>New headphones</t>
  </si>
  <si>
    <t>Freelance</t>
  </si>
  <si>
    <t>Data cleaning project</t>
  </si>
  <si>
    <t>Utilities</t>
  </si>
  <si>
    <t>Electricity bill</t>
  </si>
  <si>
    <t>Remaining</t>
  </si>
  <si>
    <t>End of month balance</t>
  </si>
  <si>
    <t>CATEGORY TOTAL SO FAR</t>
  </si>
  <si>
    <t>% OF INCOME</t>
  </si>
  <si>
    <t>TOTAL</t>
  </si>
  <si>
    <t>AVERAGE</t>
  </si>
  <si>
    <t>COUNT</t>
  </si>
  <si>
    <t>MAXIMUM</t>
  </si>
  <si>
    <t>MINUMUM</t>
  </si>
  <si>
    <t>CONCAT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</si>
</sst>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Segoe UI"/>
      <family val="2"/>
    </font>
    <font>
      <sz val="8"/>
      <color rgb="FFF9FAF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14" fontId="2" fillId="0" borderId="0" xfId="0" applyNumberFormat="1" applyFont="1" applyAlignment="1">
      <alignment horizontal="left" vertical="center" wrapText="1" indent="1"/>
    </xf>
    <xf numFmtId="3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2" borderId="0" xfId="1" applyAlignment="1">
      <alignment horizontal="center" vertical="center" wrapText="1"/>
    </xf>
  </cellXfs>
  <cellStyles count="2">
    <cellStyle name="Accent6" xfId="1" builtinId="49"/>
    <cellStyle name="Normal" xfId="0" builtinId="0"/>
  </cellStyles>
  <dxfs count="30"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9" formatCode="dd/mm/yyyy"/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</dxfs>
  <tableStyles count="0" defaultTableStyle="TableStyleMedium2" defaultPivotStyle="PivotStyleLight16"/>
  <colors>
    <mruColors>
      <color rgb="FFFF33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INCOME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val>
            <c:numRef>
              <c:f>Sheet1!$D$2:$D$21</c:f>
              <c:numCache>
                <c:formatCode>General</c:formatCode>
                <c:ptCount val="20"/>
                <c:pt idx="0" formatCode="#,##0">
                  <c:v>50000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#,##0">
                  <c:v>8000</c:v>
                </c:pt>
                <c:pt idx="10">
                  <c:v>0</c:v>
                </c:pt>
                <c:pt idx="11">
                  <c:v>0</c:v>
                </c:pt>
                <c:pt idx="13" formatCode="#,##0">
                  <c:v>58000</c:v>
                </c:pt>
                <c:pt idx="14">
                  <c:v>4833.333333333333</c:v>
                </c:pt>
                <c:pt idx="15">
                  <c:v>12</c:v>
                </c:pt>
                <c:pt idx="16">
                  <c:v>50000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0-448D-9EE9-628A29D44D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06747744"/>
        <c:axId val="406764544"/>
      </c:barChart>
      <c:catAx>
        <c:axId val="406747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764544"/>
        <c:crosses val="autoZero"/>
        <c:auto val="1"/>
        <c:lblAlgn val="ctr"/>
        <c:lblOffset val="100"/>
        <c:noMultiLvlLbl val="0"/>
      </c:catAx>
      <c:valAx>
        <c:axId val="40676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747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 VS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DB5-4898-B22A-F05415A9890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DB5-4898-B22A-F05415A9890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DB5-4898-B22A-F05415A9890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DB5-4898-B22A-F05415A9890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DB5-4898-B22A-F05415A9890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DB5-4898-B22A-F05415A9890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DB5-4898-B22A-F05415A9890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DB5-4898-B22A-F05415A9890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DB5-4898-B22A-F05415A9890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DB5-4898-B22A-F05415A9890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DB5-4898-B22A-F05415A98904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DB5-4898-B22A-F05415A989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Sheet1!$B$2:$B$13</c:f>
              <c:strCache>
                <c:ptCount val="12"/>
                <c:pt idx="0">
                  <c:v>Salary</c:v>
                </c:pt>
                <c:pt idx="1">
                  <c:v>Rent</c:v>
                </c:pt>
                <c:pt idx="2">
                  <c:v>Groceries</c:v>
                </c:pt>
                <c:pt idx="3">
                  <c:v>Groceries</c:v>
                </c:pt>
                <c:pt idx="4">
                  <c:v>Dining out</c:v>
                </c:pt>
                <c:pt idx="5">
                  <c:v>Entertainment</c:v>
                </c:pt>
                <c:pt idx="6">
                  <c:v>Groceries</c:v>
                </c:pt>
                <c:pt idx="7">
                  <c:v>Dining out</c:v>
                </c:pt>
                <c:pt idx="8">
                  <c:v>Shopping</c:v>
                </c:pt>
                <c:pt idx="9">
                  <c:v>Freelance</c:v>
                </c:pt>
                <c:pt idx="10">
                  <c:v>Utilities</c:v>
                </c:pt>
                <c:pt idx="11">
                  <c:v>Remaining</c:v>
                </c:pt>
              </c:strCache>
            </c:strRef>
          </c:cat>
          <c:val>
            <c:numRef>
              <c:f>Sheet1!$E$2:$E$13</c:f>
              <c:numCache>
                <c:formatCode>#,##0</c:formatCode>
                <c:ptCount val="12"/>
                <c:pt idx="0" formatCode="General">
                  <c:v>0</c:v>
                </c:pt>
                <c:pt idx="1">
                  <c:v>15000</c:v>
                </c:pt>
                <c:pt idx="2">
                  <c:v>4000</c:v>
                </c:pt>
                <c:pt idx="3">
                  <c:v>1500</c:v>
                </c:pt>
                <c:pt idx="4">
                  <c:v>2500</c:v>
                </c:pt>
                <c:pt idx="5">
                  <c:v>1200</c:v>
                </c:pt>
                <c:pt idx="6">
                  <c:v>2800</c:v>
                </c:pt>
                <c:pt idx="7" formatCode="General">
                  <c:v>800</c:v>
                </c:pt>
                <c:pt idx="8">
                  <c:v>5000</c:v>
                </c:pt>
                <c:pt idx="9" formatCode="General">
                  <c:v>0</c:v>
                </c:pt>
                <c:pt idx="10">
                  <c:v>2200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A-4353-8F0B-B8BEE9568F7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BUDGET VS BALANCE BASED ON DESCRIPTION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55708223972003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Sheet1!$F$1</c:f>
              <c:strCache>
                <c:ptCount val="1"/>
                <c:pt idx="0">
                  <c:v>BUDGET (per category)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ECA-45E3-AD2C-EDCE0130679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ECA-45E3-AD2C-EDCE0130679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ECA-45E3-AD2C-EDCE0130679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ECA-45E3-AD2C-EDCE0130679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ECA-45E3-AD2C-EDCE0130679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ECA-45E3-AD2C-EDCE0130679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ECA-45E3-AD2C-EDCE0130679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ECA-45E3-AD2C-EDCE0130679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ECA-45E3-AD2C-EDCE01306798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ECA-45E3-AD2C-EDCE01306798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ECA-45E3-AD2C-EDCE01306798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ECA-45E3-AD2C-EDCE01306798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ECA-45E3-AD2C-EDCE013067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Sheet1!$F$2:$F$13</c:f>
              <c:numCache>
                <c:formatCode>#,##0</c:formatCode>
                <c:ptCount val="12"/>
                <c:pt idx="0" formatCode="General">
                  <c:v>0</c:v>
                </c:pt>
                <c:pt idx="1">
                  <c:v>15000</c:v>
                </c:pt>
                <c:pt idx="2">
                  <c:v>5000</c:v>
                </c:pt>
                <c:pt idx="3">
                  <c:v>5000</c:v>
                </c:pt>
                <c:pt idx="4">
                  <c:v>2000</c:v>
                </c:pt>
                <c:pt idx="5">
                  <c:v>1500</c:v>
                </c:pt>
                <c:pt idx="6">
                  <c:v>5000</c:v>
                </c:pt>
                <c:pt idx="7">
                  <c:v>2000</c:v>
                </c:pt>
                <c:pt idx="8">
                  <c:v>3000</c:v>
                </c:pt>
                <c:pt idx="9" formatCode="General">
                  <c:v>0</c:v>
                </c:pt>
                <c:pt idx="10">
                  <c:v>2500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4-4BDD-AA90-9C2E2EA97713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BALANCE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ECA-45E3-AD2C-EDCE0130679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ECA-45E3-AD2C-EDCE0130679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ECA-45E3-AD2C-EDCE0130679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ECA-45E3-AD2C-EDCE0130679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ECA-45E3-AD2C-EDCE0130679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ECA-45E3-AD2C-EDCE0130679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ECA-45E3-AD2C-EDCE0130679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ECA-45E3-AD2C-EDCE0130679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ECA-45E3-AD2C-EDCE01306798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ECA-45E3-AD2C-EDCE01306798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BECA-45E3-AD2C-EDCE01306798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BECA-45E3-AD2C-EDCE01306798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BECA-45E3-AD2C-EDCE013067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Sheet1!$G$2:$G$13</c:f>
              <c:numCache>
                <c:formatCode>#,##0</c:formatCode>
                <c:ptCount val="12"/>
                <c:pt idx="0">
                  <c:v>50000</c:v>
                </c:pt>
                <c:pt idx="1">
                  <c:v>35000</c:v>
                </c:pt>
                <c:pt idx="2">
                  <c:v>31000</c:v>
                </c:pt>
                <c:pt idx="3">
                  <c:v>29500</c:v>
                </c:pt>
                <c:pt idx="4">
                  <c:v>27000</c:v>
                </c:pt>
                <c:pt idx="5">
                  <c:v>25800</c:v>
                </c:pt>
                <c:pt idx="6">
                  <c:v>23000</c:v>
                </c:pt>
                <c:pt idx="7">
                  <c:v>22200</c:v>
                </c:pt>
                <c:pt idx="8">
                  <c:v>17200</c:v>
                </c:pt>
                <c:pt idx="9">
                  <c:v>25200</c:v>
                </c:pt>
                <c:pt idx="10">
                  <c:v>23000</c:v>
                </c:pt>
                <c:pt idx="11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4-4BDD-AA90-9C2E2EA97713}"/>
            </c:ext>
          </c:extLst>
        </c:ser>
        <c:ser>
          <c:idx val="2"/>
          <c:order val="2"/>
          <c:tx>
            <c:strRef>
              <c:f>Sheet1!$C$2</c:f>
              <c:strCache>
                <c:ptCount val="1"/>
                <c:pt idx="0">
                  <c:v>Monthly salary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BECA-45E3-AD2C-EDCE0130679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BECA-45E3-AD2C-EDCE0130679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BECA-45E3-AD2C-EDCE0130679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BECA-45E3-AD2C-EDCE0130679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BECA-45E3-AD2C-EDCE0130679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BECA-45E3-AD2C-EDCE0130679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BECA-45E3-AD2C-EDCE0130679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BECA-45E3-AD2C-EDCE0130679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BECA-45E3-AD2C-EDCE01306798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BECA-45E3-AD2C-EDCE01306798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BECA-45E3-AD2C-EDCE01306798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BECA-45E3-AD2C-EDCE013067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Sheet1!$C$3:$C$13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B4-4BDD-AA90-9C2E2EA9771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INCOME V INCOME%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INCOME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Sheet1!$D$2:$D$13</c:f>
              <c:numCache>
                <c:formatCode>General</c:formatCode>
                <c:ptCount val="12"/>
                <c:pt idx="0" formatCode="#,##0">
                  <c:v>50000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#,##0">
                  <c:v>8000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3B-4355-95DB-D81B14EA4E7F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% OF INCOME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Sheet1!$J$2:$J$13</c:f>
              <c:numCache>
                <c:formatCode>General</c:formatCode>
                <c:ptCount val="12"/>
                <c:pt idx="0">
                  <c:v>1</c:v>
                </c:pt>
                <c:pt idx="1">
                  <c:v>-0.3</c:v>
                </c:pt>
                <c:pt idx="2">
                  <c:v>-0.08</c:v>
                </c:pt>
                <c:pt idx="3">
                  <c:v>-0.03</c:v>
                </c:pt>
                <c:pt idx="4">
                  <c:v>-0.05</c:v>
                </c:pt>
                <c:pt idx="5">
                  <c:v>-2.4E-2</c:v>
                </c:pt>
                <c:pt idx="6">
                  <c:v>-5.6000000000000001E-2</c:v>
                </c:pt>
                <c:pt idx="7">
                  <c:v>-1.6E-2</c:v>
                </c:pt>
                <c:pt idx="8">
                  <c:v>-0.1</c:v>
                </c:pt>
                <c:pt idx="9">
                  <c:v>0.16</c:v>
                </c:pt>
                <c:pt idx="10">
                  <c:v>-4.3999999999999997E-2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3B-4355-95DB-D81B14EA4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885840"/>
        <c:axId val="125882480"/>
      </c:lineChart>
      <c:catAx>
        <c:axId val="125885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82480"/>
        <c:crosses val="autoZero"/>
        <c:auto val="1"/>
        <c:lblAlgn val="ctr"/>
        <c:lblOffset val="100"/>
        <c:noMultiLvlLbl val="0"/>
      </c:catAx>
      <c:valAx>
        <c:axId val="12588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8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18736</xdr:colOff>
      <xdr:row>0</xdr:row>
      <xdr:rowOff>0</xdr:rowOff>
    </xdr:from>
    <xdr:to>
      <xdr:col>20</xdr:col>
      <xdr:colOff>362262</xdr:colOff>
      <xdr:row>19</xdr:row>
      <xdr:rowOff>-1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959A11-CBBF-81D2-4023-867F6BE1E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377692</xdr:colOff>
      <xdr:row>0</xdr:row>
      <xdr:rowOff>0</xdr:rowOff>
    </xdr:from>
    <xdr:to>
      <xdr:col>35</xdr:col>
      <xdr:colOff>187486</xdr:colOff>
      <xdr:row>44</xdr:row>
      <xdr:rowOff>27216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6A12ED-40C2-B5E9-8B78-8D727902E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113424</xdr:colOff>
      <xdr:row>19</xdr:row>
      <xdr:rowOff>70178</xdr:rowOff>
    </xdr:from>
    <xdr:to>
      <xdr:col>20</xdr:col>
      <xdr:colOff>336690</xdr:colOff>
      <xdr:row>43</xdr:row>
      <xdr:rowOff>103909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A63CCE-9447-21C4-1B72-B4ECD87B5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81742</xdr:colOff>
      <xdr:row>23</xdr:row>
      <xdr:rowOff>25284</xdr:rowOff>
    </xdr:from>
    <xdr:to>
      <xdr:col>10</xdr:col>
      <xdr:colOff>493914</xdr:colOff>
      <xdr:row>42</xdr:row>
      <xdr:rowOff>6234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2FAF4FE-810F-E1FB-8FCE-82EC50115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32EDC6-E3B8-4F82-8597-BB2B76CF2A8C}" name="Table1" displayName="Table1" ref="A1:J13" totalsRowShown="0" headerRowDxfId="29" dataDxfId="28" headerRowCellStyle="Accent6">
  <autoFilter ref="A1:J13" xr:uid="{E132EDC6-E3B8-4F82-8597-BB2B76CF2A8C}"/>
  <tableColumns count="10">
    <tableColumn id="1" xr3:uid="{9FC7E0BE-6A55-40D6-A7DA-E16CCE7C9154}" name="DATE" dataDxfId="27"/>
    <tableColumn id="2" xr3:uid="{1B98CEB3-D735-4FEF-9D69-C79CEEFD51F5}" name="CATEGORY" dataDxfId="26"/>
    <tableColumn id="3" xr3:uid="{0EEAF6CF-BC43-41BE-BF88-FBDBF881CAE7}" name="DESCRIPTION" dataDxfId="25"/>
    <tableColumn id="4" xr3:uid="{A5E894D9-6772-4318-932C-C85F110F1908}" name="INCOME" dataDxfId="24"/>
    <tableColumn id="5" xr3:uid="{90CB1EC9-27B9-4D37-B001-A1A49090708F}" name="EXPENSE" dataDxfId="23"/>
    <tableColumn id="6" xr3:uid="{1B327B60-DFD1-4F94-89B2-0AD7584E70C5}" name="BUDGET (per category)" dataDxfId="22"/>
    <tableColumn id="7" xr3:uid="{BFBF82BC-1E3D-4DCD-BC46-3CA339F89C66}" name="BALANCE" dataDxfId="21">
      <calculatedColumnFormula>G1+D2-E2</calculatedColumnFormula>
    </tableColumn>
    <tableColumn id="8" xr3:uid="{3C594EC6-614A-4D4F-9A2E-76426A6C752B}" name="OVERSPEND ALERT" dataDxfId="20">
      <calculatedColumnFormula>IF(AND(F2&lt;&gt;"", E2&gt;F2), "OVER BUDGET", IF(G2&lt;5000, "LOW BALANCE", "OK"))</calculatedColumnFormula>
    </tableColumn>
    <tableColumn id="9" xr3:uid="{E409B2F5-79A3-4139-B43A-A47A518BB46C}" name="CATEGORY TOTAL SO FAR" dataDxfId="19">
      <calculatedColumnFormula>SUMIF($B$2:B2, B2, $E$2:E2)</calculatedColumnFormula>
    </tableColumn>
    <tableColumn id="10" xr3:uid="{7416E907-8EFD-4B84-9088-8BFC6A3051BD}" name="% OF INCOME" dataDxfId="18">
      <calculatedColumnFormula>IF(D2&gt;0, D2/$D$2, -E2/$D$2)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101" zoomScaleNormal="100" workbookViewId="0">
      <selection activeCell="D31" sqref="D31"/>
    </sheetView>
  </sheetViews>
  <sheetFormatPr defaultRowHeight="14.4" x14ac:dyDescent="0.3"/>
  <cols>
    <col min="1" max="1" width="17.109375" customWidth="1"/>
    <col min="2" max="2" width="17.21875" customWidth="1"/>
    <col min="3" max="3" width="20.88671875" customWidth="1"/>
    <col min="4" max="4" width="15.88671875" customWidth="1"/>
    <col min="5" max="5" width="20.21875" customWidth="1"/>
    <col min="6" max="6" width="21.21875" customWidth="1"/>
    <col min="7" max="7" width="15.44140625" customWidth="1"/>
    <col min="8" max="8" width="21.77734375" customWidth="1"/>
    <col min="9" max="9" width="28.33203125" customWidth="1"/>
    <col min="10" max="10" width="16.21875" customWidth="1"/>
  </cols>
  <sheetData>
    <row r="1" spans="1:10" ht="30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29</v>
      </c>
      <c r="J1" s="7" t="s">
        <v>30</v>
      </c>
    </row>
    <row r="2" spans="1:10" x14ac:dyDescent="0.3">
      <c r="A2" s="1">
        <v>46119</v>
      </c>
      <c r="B2" s="3" t="s">
        <v>8</v>
      </c>
      <c r="C2" s="3" t="s">
        <v>9</v>
      </c>
      <c r="D2" s="5">
        <v>50000</v>
      </c>
      <c r="E2" s="3">
        <v>0</v>
      </c>
      <c r="F2" s="3">
        <v>0</v>
      </c>
      <c r="G2" s="5">
        <f>D2-E2</f>
        <v>50000</v>
      </c>
      <c r="H2" s="3" t="str">
        <f>IF(AND(F2&lt;&gt;"", E2&gt;F2), "OVER BUDGET", IF(G2&lt;5000, "LOW BALANCE", "OK"))</f>
        <v>OK</v>
      </c>
      <c r="I2" s="3">
        <f>SUMIF($B$2:B2, B2, $E$2:E2)</f>
        <v>0</v>
      </c>
      <c r="J2" s="6">
        <f t="shared" ref="J2:J13" si="0">IF(D2&gt;0, D2/$D$2, -E2/$D$2)</f>
        <v>1</v>
      </c>
    </row>
    <row r="3" spans="1:10" x14ac:dyDescent="0.3">
      <c r="A3" s="1">
        <v>46120</v>
      </c>
      <c r="B3" s="3" t="s">
        <v>10</v>
      </c>
      <c r="C3" s="3" t="s">
        <v>11</v>
      </c>
      <c r="D3" s="3">
        <v>0</v>
      </c>
      <c r="E3" s="5">
        <v>15000</v>
      </c>
      <c r="F3" s="5">
        <v>15000</v>
      </c>
      <c r="G3" s="5">
        <f>G2+D3-E3</f>
        <v>35000</v>
      </c>
      <c r="H3" s="3" t="str">
        <f t="shared" ref="H3:H13" si="1">IF(AND(F3&lt;&gt;"", E3&gt;F3), "OVER BUDGET", IF(G3&lt;5000, "LOW BALANCE", "OK"))</f>
        <v>OK</v>
      </c>
      <c r="I3" s="3">
        <f>SUMIF($B$2:B3, B3, $E$2:E3)</f>
        <v>15000</v>
      </c>
      <c r="J3" s="3">
        <f t="shared" si="0"/>
        <v>-0.3</v>
      </c>
    </row>
    <row r="4" spans="1:10" x14ac:dyDescent="0.3">
      <c r="A4" s="1">
        <v>46121</v>
      </c>
      <c r="B4" s="3" t="s">
        <v>12</v>
      </c>
      <c r="C4" s="3" t="s">
        <v>13</v>
      </c>
      <c r="D4" s="3">
        <v>0</v>
      </c>
      <c r="E4" s="5">
        <v>4000</v>
      </c>
      <c r="F4" s="5">
        <v>5000</v>
      </c>
      <c r="G4" s="5">
        <f t="shared" ref="G4:G13" si="2">G3+D4-E4</f>
        <v>31000</v>
      </c>
      <c r="H4" s="3" t="str">
        <f t="shared" si="1"/>
        <v>OK</v>
      </c>
      <c r="I4" s="3">
        <f>SUMIF($B$2:B4, B4, $E$2:E4)</f>
        <v>4000</v>
      </c>
      <c r="J4" s="3">
        <f t="shared" si="0"/>
        <v>-0.08</v>
      </c>
    </row>
    <row r="5" spans="1:10" x14ac:dyDescent="0.3">
      <c r="A5" s="1">
        <v>46122</v>
      </c>
      <c r="B5" s="3" t="s">
        <v>12</v>
      </c>
      <c r="C5" s="3" t="s">
        <v>14</v>
      </c>
      <c r="D5" s="3">
        <v>0</v>
      </c>
      <c r="E5" s="5">
        <v>1500</v>
      </c>
      <c r="F5" s="5">
        <v>5000</v>
      </c>
      <c r="G5" s="5">
        <f t="shared" si="2"/>
        <v>29500</v>
      </c>
      <c r="H5" s="3" t="str">
        <f t="shared" si="1"/>
        <v>OK</v>
      </c>
      <c r="I5" s="3">
        <f>SUMIF($B$2:B5, B5, $E$2:E5)</f>
        <v>5500</v>
      </c>
      <c r="J5" s="3">
        <f t="shared" si="0"/>
        <v>-0.03</v>
      </c>
    </row>
    <row r="6" spans="1:10" x14ac:dyDescent="0.3">
      <c r="A6" s="1">
        <v>46123</v>
      </c>
      <c r="B6" s="3" t="s">
        <v>15</v>
      </c>
      <c r="C6" s="3" t="s">
        <v>16</v>
      </c>
      <c r="D6" s="3">
        <v>0</v>
      </c>
      <c r="E6" s="5">
        <v>2500</v>
      </c>
      <c r="F6" s="5">
        <v>2000</v>
      </c>
      <c r="G6" s="5">
        <f t="shared" si="2"/>
        <v>27000</v>
      </c>
      <c r="H6" s="3" t="str">
        <f t="shared" si="1"/>
        <v>OVER BUDGET</v>
      </c>
      <c r="I6" s="3">
        <f>SUMIF($B$2:B6, B6, $E$2:E6)</f>
        <v>2500</v>
      </c>
      <c r="J6" s="3">
        <f t="shared" si="0"/>
        <v>-0.05</v>
      </c>
    </row>
    <row r="7" spans="1:10" x14ac:dyDescent="0.3">
      <c r="A7" s="1">
        <v>46124</v>
      </c>
      <c r="B7" s="3" t="s">
        <v>17</v>
      </c>
      <c r="C7" s="3" t="s">
        <v>18</v>
      </c>
      <c r="D7" s="3">
        <v>0</v>
      </c>
      <c r="E7" s="5">
        <v>1200</v>
      </c>
      <c r="F7" s="5">
        <v>1500</v>
      </c>
      <c r="G7" s="5">
        <f t="shared" si="2"/>
        <v>25800</v>
      </c>
      <c r="H7" s="3" t="str">
        <f t="shared" si="1"/>
        <v>OK</v>
      </c>
      <c r="I7" s="3">
        <f>SUMIF($B$2:B7, B7, $E$2:E7)</f>
        <v>1200</v>
      </c>
      <c r="J7" s="3">
        <f t="shared" si="0"/>
        <v>-2.4E-2</v>
      </c>
    </row>
    <row r="8" spans="1:10" x14ac:dyDescent="0.3">
      <c r="A8" s="1">
        <v>46125</v>
      </c>
      <c r="B8" s="3" t="s">
        <v>12</v>
      </c>
      <c r="C8" s="3" t="s">
        <v>19</v>
      </c>
      <c r="D8" s="3">
        <v>0</v>
      </c>
      <c r="E8" s="5">
        <v>2800</v>
      </c>
      <c r="F8" s="5">
        <v>5000</v>
      </c>
      <c r="G8" s="5">
        <f t="shared" si="2"/>
        <v>23000</v>
      </c>
      <c r="H8" s="3" t="str">
        <f t="shared" si="1"/>
        <v>OK</v>
      </c>
      <c r="I8" s="3">
        <f>SUMIF($B$2:B8, B8, $E$2:E8)</f>
        <v>8300</v>
      </c>
      <c r="J8" s="3">
        <f t="shared" si="0"/>
        <v>-5.6000000000000001E-2</v>
      </c>
    </row>
    <row r="9" spans="1:10" x14ac:dyDescent="0.3">
      <c r="A9" s="1">
        <v>46126</v>
      </c>
      <c r="B9" s="3" t="s">
        <v>15</v>
      </c>
      <c r="C9" s="3" t="s">
        <v>20</v>
      </c>
      <c r="D9" s="3">
        <v>0</v>
      </c>
      <c r="E9" s="3">
        <v>800</v>
      </c>
      <c r="F9" s="5">
        <v>2000</v>
      </c>
      <c r="G9" s="5">
        <f t="shared" si="2"/>
        <v>22200</v>
      </c>
      <c r="H9" s="3" t="str">
        <f t="shared" si="1"/>
        <v>OK</v>
      </c>
      <c r="I9" s="3">
        <f>SUMIF($B$2:B9, B9, $E$2:E9)</f>
        <v>3300</v>
      </c>
      <c r="J9" s="3">
        <f t="shared" si="0"/>
        <v>-1.6E-2</v>
      </c>
    </row>
    <row r="10" spans="1:10" x14ac:dyDescent="0.3">
      <c r="A10" s="1">
        <v>46127</v>
      </c>
      <c r="B10" s="3" t="s">
        <v>21</v>
      </c>
      <c r="C10" s="3" t="s">
        <v>22</v>
      </c>
      <c r="D10" s="3">
        <v>0</v>
      </c>
      <c r="E10" s="5">
        <v>5000</v>
      </c>
      <c r="F10" s="5">
        <v>3000</v>
      </c>
      <c r="G10" s="5">
        <f t="shared" si="2"/>
        <v>17200</v>
      </c>
      <c r="H10" s="3" t="str">
        <f t="shared" si="1"/>
        <v>OVER BUDGET</v>
      </c>
      <c r="I10" s="3">
        <f>SUMIF($B$2:B10, B10, $E$2:E10)</f>
        <v>5000</v>
      </c>
      <c r="J10" s="3">
        <f t="shared" si="0"/>
        <v>-0.1</v>
      </c>
    </row>
    <row r="11" spans="1:10" x14ac:dyDescent="0.3">
      <c r="A11" s="1">
        <v>46128</v>
      </c>
      <c r="B11" s="3" t="s">
        <v>23</v>
      </c>
      <c r="C11" s="3" t="s">
        <v>24</v>
      </c>
      <c r="D11" s="5">
        <v>8000</v>
      </c>
      <c r="E11" s="3">
        <v>0</v>
      </c>
      <c r="F11" s="3">
        <v>0</v>
      </c>
      <c r="G11" s="5">
        <f t="shared" si="2"/>
        <v>25200</v>
      </c>
      <c r="H11" s="3" t="str">
        <f t="shared" si="1"/>
        <v>OK</v>
      </c>
      <c r="I11" s="3">
        <f>SUMIF($B$2:B11, B11, $E$2:E11)</f>
        <v>0</v>
      </c>
      <c r="J11" s="3">
        <f t="shared" si="0"/>
        <v>0.16</v>
      </c>
    </row>
    <row r="12" spans="1:10" x14ac:dyDescent="0.3">
      <c r="A12" s="1">
        <v>46129</v>
      </c>
      <c r="B12" s="3" t="s">
        <v>25</v>
      </c>
      <c r="C12" s="3" t="s">
        <v>26</v>
      </c>
      <c r="D12" s="3">
        <v>0</v>
      </c>
      <c r="E12" s="5">
        <v>2200</v>
      </c>
      <c r="F12" s="5">
        <v>2500</v>
      </c>
      <c r="G12" s="5">
        <f t="shared" si="2"/>
        <v>23000</v>
      </c>
      <c r="H12" s="3" t="str">
        <f t="shared" si="1"/>
        <v>OK</v>
      </c>
      <c r="I12" s="3">
        <f>SUMIF($B$2:B12, B12, $E$2:E12)</f>
        <v>2200</v>
      </c>
      <c r="J12" s="3">
        <f t="shared" si="0"/>
        <v>-4.3999999999999997E-2</v>
      </c>
    </row>
    <row r="13" spans="1:10" x14ac:dyDescent="0.3">
      <c r="A13" s="1">
        <v>46130</v>
      </c>
      <c r="B13" s="3" t="s">
        <v>27</v>
      </c>
      <c r="C13" s="3" t="s">
        <v>28</v>
      </c>
      <c r="D13" s="3">
        <v>0</v>
      </c>
      <c r="E13" s="3">
        <v>0</v>
      </c>
      <c r="F13" s="3">
        <v>0</v>
      </c>
      <c r="G13" s="5">
        <f t="shared" si="2"/>
        <v>23000</v>
      </c>
      <c r="H13" s="4" t="str">
        <f t="shared" si="1"/>
        <v>OK</v>
      </c>
      <c r="I13" s="3">
        <f>SUMIF($B$2:B13, B13, $E$2:E13)</f>
        <v>0</v>
      </c>
      <c r="J13" s="3">
        <f t="shared" si="0"/>
        <v>0</v>
      </c>
    </row>
    <row r="15" spans="1:10" x14ac:dyDescent="0.3">
      <c r="C15" t="s">
        <v>31</v>
      </c>
      <c r="D15" s="2">
        <f>SUM(Table1[INCOME])</f>
        <v>58000</v>
      </c>
      <c r="E15">
        <f>SUM(Table1[EXPENSE])</f>
        <v>35000</v>
      </c>
      <c r="F15">
        <f>SUM(Table1[BUDGET (per category)])</f>
        <v>41000</v>
      </c>
      <c r="G15" s="2">
        <f>SUM(Table1[BALANCE])</f>
        <v>331900</v>
      </c>
      <c r="I15">
        <f>SUM(Table1[CATEGORY TOTAL SO FAR])</f>
        <v>47000</v>
      </c>
      <c r="J15">
        <f>SUM(Table1[% OF INCOME])</f>
        <v>0.45999999999999991</v>
      </c>
    </row>
    <row r="16" spans="1:10" x14ac:dyDescent="0.3">
      <c r="C16" t="s">
        <v>32</v>
      </c>
      <c r="D16">
        <f>AVERAGE(Table1[INCOME])</f>
        <v>4833.333333333333</v>
      </c>
      <c r="E16">
        <f>AVERAGE(Table1[EXPENSE])</f>
        <v>2916.6666666666665</v>
      </c>
      <c r="F16">
        <f>AVERAGE(Table1[BUDGET (per category)])</f>
        <v>3416.6666666666665</v>
      </c>
      <c r="G16">
        <f>AVERAGE(Table1[BALANCE])</f>
        <v>27658.333333333332</v>
      </c>
      <c r="I16">
        <f>AVERAGE(Table1[CATEGORY TOTAL SO FAR])</f>
        <v>3916.6666666666665</v>
      </c>
      <c r="J16">
        <f>AVERAGE(Table1[% OF INCOME])</f>
        <v>3.8333333333333323E-2</v>
      </c>
    </row>
    <row r="17" spans="3:10" x14ac:dyDescent="0.3">
      <c r="C17" t="s">
        <v>33</v>
      </c>
      <c r="D17">
        <f>COUNT(Table1[INCOME])</f>
        <v>12</v>
      </c>
      <c r="E17">
        <f>COUNT(Table1[EXPENSE])</f>
        <v>12</v>
      </c>
      <c r="F17">
        <f>COUNT(Table1[BUDGET (per category)])</f>
        <v>12</v>
      </c>
      <c r="G17">
        <f>COUNT(Table1[BALANCE])</f>
        <v>12</v>
      </c>
      <c r="H17">
        <f>COUNTA(Table1[OVERSPEND ALERT])</f>
        <v>12</v>
      </c>
      <c r="I17">
        <f>COUNT(Table1[CATEGORY TOTAL SO FAR])</f>
        <v>12</v>
      </c>
      <c r="J17">
        <f>COUNT(Table1[% OF INCOME])</f>
        <v>12</v>
      </c>
    </row>
    <row r="18" spans="3:10" x14ac:dyDescent="0.3">
      <c r="C18" t="s">
        <v>34</v>
      </c>
      <c r="D18">
        <f>MAX(Table1[INCOME])</f>
        <v>50000</v>
      </c>
      <c r="E18">
        <f>MAX(Table1[EXPENSE])</f>
        <v>15000</v>
      </c>
      <c r="F18">
        <f>MAX(Table1[BUDGET (per category)])</f>
        <v>15000</v>
      </c>
      <c r="G18">
        <f>MAX(Table1[BALANCE])</f>
        <v>50000</v>
      </c>
      <c r="H18">
        <f>MAX(Table1[OVERSPEND ALERT])</f>
        <v>0</v>
      </c>
      <c r="I18">
        <f>MAX(Table1[CATEGORY TOTAL SO FAR])</f>
        <v>15000</v>
      </c>
      <c r="J18">
        <f>MAX(Table1[% OF INCOME])</f>
        <v>1</v>
      </c>
    </row>
    <row r="19" spans="3:10" x14ac:dyDescent="0.3">
      <c r="C19" t="s">
        <v>35</v>
      </c>
      <c r="D19">
        <f>MIN(Table1[INCOME])</f>
        <v>0</v>
      </c>
      <c r="E19">
        <f>MIN(Table1[EXPENSE])</f>
        <v>0</v>
      </c>
      <c r="F19">
        <f>MIN(Table1[BUDGET (per category)])</f>
        <v>0</v>
      </c>
      <c r="G19">
        <f>MIN(Table1[BALANCE])</f>
        <v>17200</v>
      </c>
      <c r="I19">
        <f>MIN(Table1[CATEGORY TOTAL SO FAR])</f>
        <v>0</v>
      </c>
      <c r="J19">
        <f>MIN(Table1[% OF INCOME])</f>
        <v>-0.3</v>
      </c>
    </row>
    <row r="20" spans="3:10" x14ac:dyDescent="0.3">
      <c r="C20" t="s">
        <v>36</v>
      </c>
      <c r="H20" t="str">
        <f>_xlfn.CONCAT(H6,"-",H5)</f>
        <v>OVER BUDGET-OK</v>
      </c>
    </row>
    <row r="21" spans="3:10" x14ac:dyDescent="0.3">
      <c r="H21" t="str">
        <f>LOWER(H6)</f>
        <v>over budget</v>
      </c>
    </row>
  </sheetData>
  <conditionalFormatting sqref="D2:D13">
    <cfRule type="expression" dxfId="17" priority="2">
      <formula>D2=0</formula>
    </cfRule>
    <cfRule type="expression" dxfId="16" priority="3">
      <formula>D2&gt;0</formula>
    </cfRule>
  </conditionalFormatting>
  <conditionalFormatting sqref="E2:E13">
    <cfRule type="expression" dxfId="15" priority="4">
      <formula>E2&gt;2900</formula>
    </cfRule>
    <cfRule type="expression" priority="5">
      <formula>E2&gt;2900</formula>
    </cfRule>
    <cfRule type="expression" dxfId="14" priority="6">
      <formula>E2=0</formula>
    </cfRule>
  </conditionalFormatting>
  <conditionalFormatting sqref="F2:F13">
    <cfRule type="expression" dxfId="13" priority="7">
      <formula>F2&gt;5000</formula>
    </cfRule>
    <cfRule type="expression" dxfId="12" priority="8">
      <formula>F2=0</formula>
    </cfRule>
    <cfRule type="expression" dxfId="11" priority="9">
      <formula>AND(F2&lt;2900, F2&lt;&gt;0)</formula>
    </cfRule>
    <cfRule type="expression" dxfId="10" priority="10">
      <formula>F2&lt;2900</formula>
    </cfRule>
    <cfRule type="expression" dxfId="9" priority="11">
      <formula>F2=0</formula>
    </cfRule>
  </conditionalFormatting>
  <conditionalFormatting sqref="G1 G14:G1048576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G2:G13">
    <cfRule type="expression" dxfId="8" priority="12">
      <formula>G2=50000</formula>
    </cfRule>
    <cfRule type="expression" dxfId="7" priority="13">
      <formula>G2&gt;25000</formula>
    </cfRule>
    <cfRule type="expression" dxfId="6" priority="14">
      <formula>G2&lt;25000</formula>
    </cfRule>
  </conditionalFormatting>
  <conditionalFormatting sqref="H1:H1048576">
    <cfRule type="expression" dxfId="5" priority="24">
      <formula>$H$2="OVER BUDGET"</formula>
    </cfRule>
    <cfRule type="expression" dxfId="4" priority="25">
      <formula>IF($H$2="OK", "Approved", "")</formula>
    </cfRule>
    <cfRule type="iconSet" priority="30">
      <iconSet iconSet="3Symbols2">
        <cfvo type="percent" val="0"/>
        <cfvo type="percent" val="33"/>
        <cfvo type="percent" val="67"/>
      </iconSet>
    </cfRule>
    <cfRule type="colorScale" priority="31">
      <colorScale>
        <cfvo type="min"/>
        <cfvo type="max"/>
        <color rgb="FFFF7128"/>
        <color rgb="FFC00000"/>
      </colorScale>
    </cfRule>
  </conditionalFormatting>
  <conditionalFormatting sqref="H2:H13">
    <cfRule type="expression" dxfId="3" priority="22">
      <formula>H2="OK"</formula>
    </cfRule>
    <cfRule type="expression" dxfId="2" priority="23">
      <formula>H2="OVER BUDGET"</formula>
    </cfRule>
    <cfRule type="expression" dxfId="1" priority="26">
      <formula>IF($H$2="OK", "Approved", "")</formula>
    </cfRule>
  </conditionalFormatting>
  <conditionalFormatting sqref="I2:I13">
    <cfRule type="expression" dxfId="0" priority="1">
      <formula>I2=0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chowdhury</dc:creator>
  <cp:lastModifiedBy>Om chowdhury</cp:lastModifiedBy>
  <dcterms:created xsi:type="dcterms:W3CDTF">2015-06-05T18:17:20Z</dcterms:created>
  <dcterms:modified xsi:type="dcterms:W3CDTF">2026-04-19T14:16:36Z</dcterms:modified>
</cp:coreProperties>
</file>